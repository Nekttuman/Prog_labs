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F41" i="1" l="1"/>
  <c r="F40" i="1"/>
  <c r="G36" i="1"/>
  <c r="G35" i="1"/>
  <c r="D2" i="1"/>
  <c r="E2" i="1" s="1"/>
  <c r="D3" i="1"/>
  <c r="E3" i="1" s="1"/>
  <c r="D8" i="1"/>
  <c r="E8" i="1" s="1"/>
  <c r="D11" i="1"/>
  <c r="E11" i="1" s="1"/>
  <c r="D6" i="1"/>
  <c r="E6" i="1" s="1"/>
  <c r="D4" i="1"/>
  <c r="E4" i="1" s="1"/>
  <c r="D7" i="1"/>
  <c r="E7" i="1" s="1"/>
  <c r="D9" i="1"/>
  <c r="E9" i="1" s="1"/>
  <c r="D5" i="1"/>
  <c r="E5" i="1" s="1"/>
  <c r="D10" i="1"/>
  <c r="E10" i="1" s="1"/>
  <c r="G37" i="1" l="1"/>
</calcChain>
</file>

<file path=xl/sharedStrings.xml><?xml version="1.0" encoding="utf-8"?>
<sst xmlns="http://schemas.openxmlformats.org/spreadsheetml/2006/main" count="121" uniqueCount="78">
  <si>
    <t>ФИО</t>
  </si>
  <si>
    <t>Должность</t>
  </si>
  <si>
    <t>Размер ЗП</t>
  </si>
  <si>
    <t>Размер налога</t>
  </si>
  <si>
    <t>Размер гросс ЗП</t>
  </si>
  <si>
    <t>Воронцов Бронислав Иванович</t>
  </si>
  <si>
    <t>Гордеев Святослав Якунович</t>
  </si>
  <si>
    <t>Михеев Александр Еремеевич</t>
  </si>
  <si>
    <t>Родионов Мирослав Аристархович</t>
  </si>
  <si>
    <t>Исаков Адам Артёмович</t>
  </si>
  <si>
    <t>Гурьева Эмилия Рудольфовна</t>
  </si>
  <si>
    <t>Куликова Фаина Евсеевна</t>
  </si>
  <si>
    <t>Новикова Есения Кирилловна</t>
  </si>
  <si>
    <t>Зимина Романа Гордеевна</t>
  </si>
  <si>
    <t>Панова Элла Глебовна</t>
  </si>
  <si>
    <t>Эколог</t>
  </si>
  <si>
    <t>Ассистент менеджера по продажам</t>
  </si>
  <si>
    <t>Архитектор-проектировщи</t>
  </si>
  <si>
    <t>Web-интегратор</t>
  </si>
  <si>
    <t>Копирайтер</t>
  </si>
  <si>
    <t>Кладовщик</t>
  </si>
  <si>
    <t>Бухгалтер</t>
  </si>
  <si>
    <t>Контент-менеджер</t>
  </si>
  <si>
    <t>Менеджер по продажам</t>
  </si>
  <si>
    <t>Конечная ЗП</t>
  </si>
  <si>
    <t>Январь 2023</t>
  </si>
  <si>
    <t>Июль 2023</t>
  </si>
  <si>
    <t>Январь 2024</t>
  </si>
  <si>
    <t>Январь 2025</t>
  </si>
  <si>
    <t>Январь 2026</t>
  </si>
  <si>
    <t>Январь 2027</t>
  </si>
  <si>
    <t>Январь 2028</t>
  </si>
  <si>
    <t>Январь 2029</t>
  </si>
  <si>
    <t>Январь 2030</t>
  </si>
  <si>
    <t>Январь 2031</t>
  </si>
  <si>
    <t>Январь 2032</t>
  </si>
  <si>
    <t>Июль 2024</t>
  </si>
  <si>
    <t>Июль 2025</t>
  </si>
  <si>
    <t>Июль 2026</t>
  </si>
  <si>
    <t>Июль 2027</t>
  </si>
  <si>
    <t>Июль 2028</t>
  </si>
  <si>
    <t>Июль 2029</t>
  </si>
  <si>
    <t>Июль 2030</t>
  </si>
  <si>
    <t>Июль 2031</t>
  </si>
  <si>
    <t>Июль 2032</t>
  </si>
  <si>
    <t>Январь 2033</t>
  </si>
  <si>
    <t>месяц год</t>
  </si>
  <si>
    <t>дата</t>
  </si>
  <si>
    <t>сумма</t>
  </si>
  <si>
    <t>кто</t>
  </si>
  <si>
    <t>на что</t>
  </si>
  <si>
    <t>5 октября, 2021</t>
  </si>
  <si>
    <t>8 октября, 2021</t>
  </si>
  <si>
    <t>9 октября, 2021</t>
  </si>
  <si>
    <t>10 октября, 2021</t>
  </si>
  <si>
    <t>12 октября, 2021</t>
  </si>
  <si>
    <t>14 октября, 2021</t>
  </si>
  <si>
    <t>15 октрября, 2021</t>
  </si>
  <si>
    <t>16 октября, 2021</t>
  </si>
  <si>
    <t>18 октября, 2021</t>
  </si>
  <si>
    <t>19 октября, 2021</t>
  </si>
  <si>
    <t>21 октября, 2021</t>
  </si>
  <si>
    <t>22 октября, 2021</t>
  </si>
  <si>
    <t>25 октября, 2021</t>
  </si>
  <si>
    <t>27 октября, 2021</t>
  </si>
  <si>
    <t>29 октября, 2021</t>
  </si>
  <si>
    <t>30 октября, 2021</t>
  </si>
  <si>
    <t>пользователь 1</t>
  </si>
  <si>
    <t>пользователь 2</t>
  </si>
  <si>
    <t>еда</t>
  </si>
  <si>
    <t>билеты</t>
  </si>
  <si>
    <t>быт товары</t>
  </si>
  <si>
    <t>кафе</t>
  </si>
  <si>
    <t>кино</t>
  </si>
  <si>
    <t>кто2</t>
  </si>
  <si>
    <t>оба</t>
  </si>
  <si>
    <t>итог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</si>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</sst>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#,##0\ [$₽-419]"/>
    <numFmt numFmtId="171" formatCode="[$-419]mmmm\ yyyy;@"/>
    <numFmt numFmtId="174" formatCode="d/m;@"/>
    <numFmt numFmtId="175" formatCode="[$-FC19]dd\ mmmm\ yyyy\ \г\.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shrinkToFit="1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vertical="center" shrinkToFit="1"/>
    </xf>
    <xf numFmtId="49" fontId="0" fillId="0" borderId="0" xfId="0" applyNumberFormat="1" applyAlignment="1">
      <alignment horizontal="left" vertical="center" shrinkToFit="1"/>
    </xf>
    <xf numFmtId="171" fontId="0" fillId="0" borderId="0" xfId="0" applyNumberFormat="1"/>
    <xf numFmtId="0" fontId="0" fillId="2" borderId="0" xfId="0" applyFill="1" applyAlignment="1">
      <alignment shrinkToFit="1"/>
    </xf>
    <xf numFmtId="0" fontId="0" fillId="0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174" fontId="0" fillId="0" borderId="0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175" fontId="0" fillId="0" borderId="0" xfId="0" applyNumberFormat="1" applyFont="1" applyFill="1" applyBorder="1" applyAlignment="1">
      <alignment horizontal="center" vertical="center" wrapText="1"/>
    </xf>
    <xf numFmtId="175" fontId="0" fillId="0" borderId="0" xfId="0" applyNumberFormat="1" applyFont="1" applyFill="1" applyAlignment="1">
      <alignment horizontal="center" vertical="center" wrapText="1"/>
    </xf>
    <xf numFmtId="174" fontId="0" fillId="0" borderId="0" xfId="0" applyNumberFormat="1" applyFont="1" applyFill="1" applyAlignment="1">
      <alignment horizontal="center" vertical="center" wrapText="1"/>
    </xf>
    <xf numFmtId="168" fontId="0" fillId="0" borderId="0" xfId="0" applyNumberFormat="1" applyFont="1" applyFill="1" applyAlignment="1">
      <alignment horizontal="left" vertical="center"/>
    </xf>
    <xf numFmtId="168" fontId="0" fillId="0" borderId="0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Обычны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#,##0\ [$₽-419]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#,##0\ [$₽-419]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4" formatCode="d/m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5" formatCode="[$-FC19]dd\ mmmm\ yyyy\ \г\.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68" formatCode="#,##0\ [$₽-419]"/>
      <alignment horizontal="center" vertical="center" textRotation="0" wrapText="0" indent="0" justifyLastLine="0" shrinkToFit="0" readingOrder="0"/>
    </dxf>
    <dxf>
      <numFmt numFmtId="168" formatCode="#,##0\ [$₽-419]"/>
      <alignment horizontal="center" vertical="center" textRotation="0" wrapText="0" indent="0" justifyLastLine="0" shrinkToFit="0" readingOrder="0"/>
    </dxf>
    <dxf>
      <numFmt numFmtId="168" formatCode="#,##0\ [$₽-419]"/>
      <alignment horizontal="center" vertical="center" textRotation="0" wrapText="0" indent="0" justifyLastLine="0" shrinkToFit="0" readingOrder="0"/>
    </dxf>
    <dxf>
      <numFmt numFmtId="168" formatCode="#,##0\ [$₽-419]"/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1" readingOrder="0"/>
    </dxf>
    <dxf>
      <alignment horizontal="general" vertical="center" textRotation="0" wrapText="0" indent="0" justifyLastLine="0" shrinkToFit="1" readingOrder="0"/>
    </dxf>
    <dxf>
      <alignment vertical="center" textRotation="0" wrapText="0" indent="0" justifyLastLine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86045494313211"/>
          <c:y val="0.19480351414406533"/>
          <c:w val="0.65101771653543306"/>
          <c:h val="0.5555263925342665"/>
        </c:manualLayout>
      </c:layout>
      <c:lineChart>
        <c:grouping val="standard"/>
        <c:varyColors val="0"/>
        <c:ser>
          <c:idx val="0"/>
          <c:order val="0"/>
          <c:tx>
            <c:strRef>
              <c:f>Лист1!$E$12</c:f>
              <c:strCache>
                <c:ptCount val="1"/>
                <c:pt idx="0">
                  <c:v>Размер ЗП</c:v>
                </c:pt>
              </c:strCache>
            </c:strRef>
          </c:tx>
          <c:marker>
            <c:symbol val="none"/>
          </c:marker>
          <c:cat>
            <c:strRef>
              <c:f>Лист1!$D$13:$D$33</c:f>
              <c:strCache>
                <c:ptCount val="21"/>
                <c:pt idx="0">
                  <c:v>Январь 2023</c:v>
                </c:pt>
                <c:pt idx="1">
                  <c:v>Июль 2023</c:v>
                </c:pt>
                <c:pt idx="2">
                  <c:v>Январь 2024</c:v>
                </c:pt>
                <c:pt idx="3">
                  <c:v>Июль 2024</c:v>
                </c:pt>
                <c:pt idx="4">
                  <c:v>Январь 2025</c:v>
                </c:pt>
                <c:pt idx="5">
                  <c:v>Июль 2025</c:v>
                </c:pt>
                <c:pt idx="6">
                  <c:v>Январь 2026</c:v>
                </c:pt>
                <c:pt idx="7">
                  <c:v>Июль 2026</c:v>
                </c:pt>
                <c:pt idx="8">
                  <c:v>Январь 2027</c:v>
                </c:pt>
                <c:pt idx="9">
                  <c:v>Июль 2027</c:v>
                </c:pt>
                <c:pt idx="10">
                  <c:v>Январь 2028</c:v>
                </c:pt>
                <c:pt idx="11">
                  <c:v>Июль 2028</c:v>
                </c:pt>
                <c:pt idx="12">
                  <c:v>Январь 2029</c:v>
                </c:pt>
                <c:pt idx="13">
                  <c:v>Июль 2029</c:v>
                </c:pt>
                <c:pt idx="14">
                  <c:v>Январь 2030</c:v>
                </c:pt>
                <c:pt idx="15">
                  <c:v>Июль 2030</c:v>
                </c:pt>
                <c:pt idx="16">
                  <c:v>Январь 2031</c:v>
                </c:pt>
                <c:pt idx="17">
                  <c:v>Июль 2031</c:v>
                </c:pt>
                <c:pt idx="18">
                  <c:v>Январь 2032</c:v>
                </c:pt>
                <c:pt idx="19">
                  <c:v>Июль 2032</c:v>
                </c:pt>
                <c:pt idx="20">
                  <c:v>Январь 2033</c:v>
                </c:pt>
              </c:strCache>
            </c:strRef>
          </c:cat>
          <c:val>
            <c:numRef>
              <c:f>Лист1!$E$13:$E$33</c:f>
              <c:numCache>
                <c:formatCode>#,##0\ [$₽-419]</c:formatCode>
                <c:ptCount val="21"/>
                <c:pt idx="0">
                  <c:v>15000</c:v>
                </c:pt>
                <c:pt idx="1">
                  <c:v>16000</c:v>
                </c:pt>
                <c:pt idx="2">
                  <c:v>16000</c:v>
                </c:pt>
                <c:pt idx="3">
                  <c:v>24000</c:v>
                </c:pt>
                <c:pt idx="4">
                  <c:v>28000</c:v>
                </c:pt>
                <c:pt idx="5">
                  <c:v>32000</c:v>
                </c:pt>
                <c:pt idx="6">
                  <c:v>24000</c:v>
                </c:pt>
                <c:pt idx="7">
                  <c:v>48000</c:v>
                </c:pt>
                <c:pt idx="8">
                  <c:v>48500</c:v>
                </c:pt>
                <c:pt idx="9">
                  <c:v>51000</c:v>
                </c:pt>
                <c:pt idx="10">
                  <c:v>51000</c:v>
                </c:pt>
                <c:pt idx="11">
                  <c:v>54000</c:v>
                </c:pt>
                <c:pt idx="12">
                  <c:v>56000</c:v>
                </c:pt>
                <c:pt idx="13">
                  <c:v>60000</c:v>
                </c:pt>
                <c:pt idx="14">
                  <c:v>62000</c:v>
                </c:pt>
                <c:pt idx="15">
                  <c:v>56000</c:v>
                </c:pt>
                <c:pt idx="16">
                  <c:v>71000</c:v>
                </c:pt>
                <c:pt idx="17">
                  <c:v>70000</c:v>
                </c:pt>
                <c:pt idx="18">
                  <c:v>77000</c:v>
                </c:pt>
                <c:pt idx="19">
                  <c:v>65000</c:v>
                </c:pt>
                <c:pt idx="20">
                  <c:v>63000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929920"/>
        <c:axId val="152310144"/>
      </c:lineChart>
      <c:catAx>
        <c:axId val="296929920"/>
        <c:scaling>
          <c:orientation val="minMax"/>
        </c:scaling>
        <c:delete val="0"/>
        <c:axPos val="b"/>
        <c:majorTickMark val="out"/>
        <c:minorTickMark val="none"/>
        <c:tickLblPos val="nextTo"/>
        <c:crossAx val="152310144"/>
        <c:crosses val="autoZero"/>
        <c:auto val="1"/>
        <c:lblAlgn val="ctr"/>
        <c:lblOffset val="100"/>
        <c:noMultiLvlLbl val="0"/>
      </c:catAx>
      <c:valAx>
        <c:axId val="152310144"/>
        <c:scaling>
          <c:orientation val="minMax"/>
        </c:scaling>
        <c:delete val="0"/>
        <c:axPos val="l"/>
        <c:majorGridlines/>
        <c:numFmt formatCode="#,##0\ [$₽-419]" sourceLinked="1"/>
        <c:majorTickMark val="out"/>
        <c:minorTickMark val="none"/>
        <c:tickLblPos val="nextTo"/>
        <c:crossAx val="296929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300246</xdr:colOff>
      <xdr:row>12</xdr:row>
      <xdr:rowOff>140804</xdr:rowOff>
    </xdr:from>
    <xdr:to>
      <xdr:col>2</xdr:col>
      <xdr:colOff>877956</xdr:colOff>
      <xdr:row>28</xdr:row>
      <xdr:rowOff>37064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E11" totalsRowShown="0" dataDxfId="12">
  <autoFilter ref="A1:E11"/>
  <sortState ref="A2:E11">
    <sortCondition ref="A1:A11"/>
  </sortState>
  <tableColumns count="5">
    <tableColumn id="1" name="ФИО" dataDxfId="11"/>
    <tableColumn id="2" name="Должность" dataDxfId="10"/>
    <tableColumn id="3" name="Размер гросс ЗП" dataDxfId="9"/>
    <tableColumn id="4" name="Размер налога" dataDxfId="7">
      <calculatedColumnFormula>C2*0.13</calculatedColumnFormula>
    </tableColumn>
    <tableColumn id="5" name="Конечная ЗП" dataDxfId="6">
      <calculatedColumnFormula>C2-D2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D12:E33" totalsRowShown="0">
  <autoFilter ref="D12:E33"/>
  <tableColumns count="2">
    <tableColumn id="1" name="месяц год"/>
    <tableColumn id="2" name="Размер ЗП" dataDxfId="8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34:D55" totalsRowShown="0" headerRowDxfId="5" dataDxfId="3">
  <autoFilter ref="A34:D55"/>
  <tableColumns count="4">
    <tableColumn id="1" name="дата" dataDxfId="4"/>
    <tableColumn id="2" name="сумма" dataDxfId="0"/>
    <tableColumn id="3" name="кто" dataDxfId="1"/>
    <tableColumn id="4" name="на что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tabSelected="1" zoomScaleNormal="100" zoomScaleSheetLayoutView="115" workbookViewId="0">
      <selection activeCell="F44" sqref="F44"/>
    </sheetView>
  </sheetViews>
  <sheetFormatPr defaultRowHeight="15" x14ac:dyDescent="0.25"/>
  <cols>
    <col min="1" max="1" width="31" style="1" customWidth="1"/>
    <col min="2" max="2" width="31.7109375" style="4" customWidth="1"/>
    <col min="3" max="3" width="15.7109375" style="2" customWidth="1"/>
    <col min="4" max="4" width="13.7109375" customWidth="1"/>
    <col min="5" max="5" width="15" customWidth="1"/>
    <col min="6" max="6" width="15.5703125" customWidth="1"/>
    <col min="7" max="7" width="14.7109375" customWidth="1"/>
  </cols>
  <sheetData>
    <row r="1" spans="1:5" x14ac:dyDescent="0.25">
      <c r="A1" s="1" t="s">
        <v>0</v>
      </c>
      <c r="B1" s="4" t="s">
        <v>1</v>
      </c>
      <c r="C1" s="2" t="s">
        <v>4</v>
      </c>
      <c r="D1" t="s">
        <v>3</v>
      </c>
      <c r="E1" t="s">
        <v>24</v>
      </c>
    </row>
    <row r="2" spans="1:5" ht="20.100000000000001" customHeight="1" x14ac:dyDescent="0.25">
      <c r="A2" s="3" t="s">
        <v>5</v>
      </c>
      <c r="B2" s="4" t="s">
        <v>15</v>
      </c>
      <c r="C2" s="2">
        <v>30000</v>
      </c>
      <c r="D2" s="2">
        <f>C2*0.13</f>
        <v>3900</v>
      </c>
      <c r="E2" s="2">
        <f>C2-D2</f>
        <v>26100</v>
      </c>
    </row>
    <row r="3" spans="1:5" ht="19.5" customHeight="1" x14ac:dyDescent="0.25">
      <c r="A3" s="3" t="s">
        <v>6</v>
      </c>
      <c r="B3" s="4" t="s">
        <v>16</v>
      </c>
      <c r="C3" s="2">
        <v>27000</v>
      </c>
      <c r="D3" s="2">
        <f>C3*0.13</f>
        <v>3510</v>
      </c>
      <c r="E3" s="2">
        <f>C3-D3</f>
        <v>23490</v>
      </c>
    </row>
    <row r="4" spans="1:5" ht="20.100000000000001" customHeight="1" x14ac:dyDescent="0.25">
      <c r="A4" s="3" t="s">
        <v>10</v>
      </c>
      <c r="B4" s="4" t="s">
        <v>20</v>
      </c>
      <c r="C4" s="2">
        <v>15000</v>
      </c>
      <c r="D4" s="2">
        <f>C4*0.13</f>
        <v>1950</v>
      </c>
      <c r="E4" s="2">
        <f>C4-D4</f>
        <v>13050</v>
      </c>
    </row>
    <row r="5" spans="1:5" ht="20.100000000000001" customHeight="1" x14ac:dyDescent="0.25">
      <c r="A5" s="3" t="s">
        <v>13</v>
      </c>
      <c r="B5" s="4" t="s">
        <v>23</v>
      </c>
      <c r="C5" s="2">
        <v>35000</v>
      </c>
      <c r="D5" s="2">
        <f>C5*0.13</f>
        <v>4550</v>
      </c>
      <c r="E5" s="2">
        <f>C5-D5</f>
        <v>30450</v>
      </c>
    </row>
    <row r="6" spans="1:5" ht="20.100000000000001" customHeight="1" x14ac:dyDescent="0.25">
      <c r="A6" s="3" t="s">
        <v>9</v>
      </c>
      <c r="B6" s="4" t="s">
        <v>19</v>
      </c>
      <c r="C6" s="2">
        <v>18000</v>
      </c>
      <c r="D6" s="2">
        <f>C6*0.13</f>
        <v>2340</v>
      </c>
      <c r="E6" s="2">
        <f>C6-D6</f>
        <v>15660</v>
      </c>
    </row>
    <row r="7" spans="1:5" ht="20.100000000000001" customHeight="1" x14ac:dyDescent="0.25">
      <c r="A7" s="3" t="s">
        <v>11</v>
      </c>
      <c r="B7" s="4" t="s">
        <v>21</v>
      </c>
      <c r="C7" s="2">
        <v>32000</v>
      </c>
      <c r="D7" s="2">
        <f>C7*0.13</f>
        <v>4160</v>
      </c>
      <c r="E7" s="2">
        <f>C7-D7</f>
        <v>27840</v>
      </c>
    </row>
    <row r="8" spans="1:5" ht="20.100000000000001" customHeight="1" x14ac:dyDescent="0.25">
      <c r="A8" s="3" t="s">
        <v>7</v>
      </c>
      <c r="B8" s="4" t="s">
        <v>17</v>
      </c>
      <c r="C8" s="2">
        <v>45000</v>
      </c>
      <c r="D8" s="2">
        <f>C8*0.13</f>
        <v>5850</v>
      </c>
      <c r="E8" s="2">
        <f>C8-D8</f>
        <v>39150</v>
      </c>
    </row>
    <row r="9" spans="1:5" ht="20.100000000000001" customHeight="1" x14ac:dyDescent="0.25">
      <c r="A9" s="3" t="s">
        <v>12</v>
      </c>
      <c r="B9" s="4" t="s">
        <v>22</v>
      </c>
      <c r="C9" s="2">
        <v>27000</v>
      </c>
      <c r="D9" s="2">
        <f>C9*0.13</f>
        <v>3510</v>
      </c>
      <c r="E9" s="2">
        <f>C9-D9</f>
        <v>23490</v>
      </c>
    </row>
    <row r="10" spans="1:5" ht="20.100000000000001" customHeight="1" x14ac:dyDescent="0.25">
      <c r="A10" s="3" t="s">
        <v>14</v>
      </c>
      <c r="B10" s="4" t="s">
        <v>19</v>
      </c>
      <c r="C10" s="2">
        <v>18000</v>
      </c>
      <c r="D10" s="2">
        <f>C10*0.13</f>
        <v>2340</v>
      </c>
      <c r="E10" s="2">
        <f>C10-D10</f>
        <v>15660</v>
      </c>
    </row>
    <row r="11" spans="1:5" ht="20.100000000000001" customHeight="1" x14ac:dyDescent="0.25">
      <c r="A11" s="3" t="s">
        <v>8</v>
      </c>
      <c r="B11" s="4" t="s">
        <v>18</v>
      </c>
      <c r="C11" s="2">
        <v>45000</v>
      </c>
      <c r="D11" s="2">
        <f>C11*0.13</f>
        <v>5850</v>
      </c>
      <c r="E11" s="2">
        <f>C11-D11</f>
        <v>39150</v>
      </c>
    </row>
    <row r="12" spans="1:5" x14ac:dyDescent="0.25">
      <c r="A12" s="6"/>
      <c r="B12" s="6"/>
      <c r="C12" s="6"/>
      <c r="D12" s="5" t="s">
        <v>46</v>
      </c>
      <c r="E12" s="2" t="s">
        <v>2</v>
      </c>
    </row>
    <row r="13" spans="1:5" x14ac:dyDescent="0.25">
      <c r="A13" s="6"/>
      <c r="B13" s="6"/>
      <c r="C13" s="6"/>
      <c r="D13" t="s">
        <v>25</v>
      </c>
      <c r="E13" s="2">
        <v>15000</v>
      </c>
    </row>
    <row r="14" spans="1:5" x14ac:dyDescent="0.25">
      <c r="A14" s="6"/>
      <c r="B14" s="6"/>
      <c r="C14" s="6"/>
      <c r="D14" t="s">
        <v>26</v>
      </c>
      <c r="E14" s="2">
        <v>16000</v>
      </c>
    </row>
    <row r="15" spans="1:5" x14ac:dyDescent="0.25">
      <c r="A15" s="6"/>
      <c r="B15" s="6"/>
      <c r="C15" s="6"/>
      <c r="D15" t="s">
        <v>27</v>
      </c>
      <c r="E15" s="2">
        <v>16000</v>
      </c>
    </row>
    <row r="16" spans="1:5" x14ac:dyDescent="0.25">
      <c r="A16" s="6"/>
      <c r="B16" s="6"/>
      <c r="C16" s="6"/>
      <c r="D16" t="s">
        <v>36</v>
      </c>
      <c r="E16" s="2">
        <v>24000</v>
      </c>
    </row>
    <row r="17" spans="1:5" x14ac:dyDescent="0.25">
      <c r="A17" s="6"/>
      <c r="B17" s="6"/>
      <c r="C17" s="6"/>
      <c r="D17" t="s">
        <v>28</v>
      </c>
      <c r="E17" s="2">
        <v>28000</v>
      </c>
    </row>
    <row r="18" spans="1:5" x14ac:dyDescent="0.25">
      <c r="A18" s="6"/>
      <c r="B18" s="6"/>
      <c r="C18" s="6"/>
      <c r="D18" t="s">
        <v>37</v>
      </c>
      <c r="E18" s="2">
        <v>32000</v>
      </c>
    </row>
    <row r="19" spans="1:5" x14ac:dyDescent="0.25">
      <c r="A19" s="6"/>
      <c r="B19" s="6"/>
      <c r="C19" s="6"/>
      <c r="D19" t="s">
        <v>29</v>
      </c>
      <c r="E19" s="2">
        <v>24000</v>
      </c>
    </row>
    <row r="20" spans="1:5" x14ac:dyDescent="0.25">
      <c r="A20" s="6"/>
      <c r="B20" s="6"/>
      <c r="C20" s="6"/>
      <c r="D20" t="s">
        <v>38</v>
      </c>
      <c r="E20" s="2">
        <v>48000</v>
      </c>
    </row>
    <row r="21" spans="1:5" x14ac:dyDescent="0.25">
      <c r="A21" s="6"/>
      <c r="B21" s="6"/>
      <c r="C21" s="6"/>
      <c r="D21" t="s">
        <v>30</v>
      </c>
      <c r="E21" s="2">
        <v>48500</v>
      </c>
    </row>
    <row r="22" spans="1:5" x14ac:dyDescent="0.25">
      <c r="A22" s="6"/>
      <c r="B22" s="6"/>
      <c r="C22" s="6"/>
      <c r="D22" t="s">
        <v>39</v>
      </c>
      <c r="E22" s="2">
        <v>51000</v>
      </c>
    </row>
    <row r="23" spans="1:5" x14ac:dyDescent="0.25">
      <c r="A23" s="6"/>
      <c r="B23" s="6"/>
      <c r="C23" s="6"/>
      <c r="D23" t="s">
        <v>31</v>
      </c>
      <c r="E23" s="2">
        <v>51000</v>
      </c>
    </row>
    <row r="24" spans="1:5" x14ac:dyDescent="0.25">
      <c r="A24" s="6"/>
      <c r="B24" s="6"/>
      <c r="C24" s="6"/>
      <c r="D24" t="s">
        <v>40</v>
      </c>
      <c r="E24" s="2">
        <v>54000</v>
      </c>
    </row>
    <row r="25" spans="1:5" x14ac:dyDescent="0.25">
      <c r="A25" s="6"/>
      <c r="B25" s="6"/>
      <c r="C25" s="6"/>
      <c r="D25" t="s">
        <v>32</v>
      </c>
      <c r="E25" s="2">
        <v>56000</v>
      </c>
    </row>
    <row r="26" spans="1:5" x14ac:dyDescent="0.25">
      <c r="A26" s="6"/>
      <c r="B26" s="6"/>
      <c r="C26" s="6"/>
      <c r="D26" t="s">
        <v>41</v>
      </c>
      <c r="E26" s="2">
        <v>60000</v>
      </c>
    </row>
    <row r="27" spans="1:5" x14ac:dyDescent="0.25">
      <c r="A27" s="6"/>
      <c r="B27" s="6"/>
      <c r="C27" s="6"/>
      <c r="D27" t="s">
        <v>33</v>
      </c>
      <c r="E27" s="2">
        <v>62000</v>
      </c>
    </row>
    <row r="28" spans="1:5" x14ac:dyDescent="0.25">
      <c r="A28" s="6"/>
      <c r="B28" s="6"/>
      <c r="C28" s="6"/>
      <c r="D28" t="s">
        <v>42</v>
      </c>
      <c r="E28" s="2">
        <v>56000</v>
      </c>
    </row>
    <row r="29" spans="1:5" x14ac:dyDescent="0.25">
      <c r="A29" s="6"/>
      <c r="B29" s="6"/>
      <c r="C29" s="6"/>
      <c r="D29" t="s">
        <v>34</v>
      </c>
      <c r="E29" s="2">
        <v>71000</v>
      </c>
    </row>
    <row r="30" spans="1:5" x14ac:dyDescent="0.25">
      <c r="A30" s="6"/>
      <c r="B30" s="6"/>
      <c r="C30" s="6"/>
      <c r="D30" t="s">
        <v>43</v>
      </c>
      <c r="E30" s="2">
        <v>70000</v>
      </c>
    </row>
    <row r="31" spans="1:5" x14ac:dyDescent="0.25">
      <c r="A31" s="6"/>
      <c r="B31" s="6"/>
      <c r="C31" s="6"/>
      <c r="D31" t="s">
        <v>35</v>
      </c>
      <c r="E31" s="2">
        <v>77000</v>
      </c>
    </row>
    <row r="32" spans="1:5" x14ac:dyDescent="0.25">
      <c r="A32" s="6"/>
      <c r="B32" s="6"/>
      <c r="C32" s="6"/>
      <c r="D32" t="s">
        <v>44</v>
      </c>
      <c r="E32" s="2">
        <v>65000</v>
      </c>
    </row>
    <row r="33" spans="1:8" x14ac:dyDescent="0.25">
      <c r="A33" s="6"/>
      <c r="B33" s="6"/>
      <c r="C33" s="6"/>
      <c r="D33" t="s">
        <v>45</v>
      </c>
      <c r="E33" s="2">
        <v>63000</v>
      </c>
    </row>
    <row r="34" spans="1:8" ht="24.95" customHeight="1" thickBot="1" x14ac:dyDescent="0.3">
      <c r="A34" s="7" t="s">
        <v>47</v>
      </c>
      <c r="B34" s="7" t="s">
        <v>48</v>
      </c>
      <c r="C34" s="13" t="s">
        <v>49</v>
      </c>
      <c r="D34" s="12" t="s">
        <v>50</v>
      </c>
      <c r="F34" s="8" t="s">
        <v>74</v>
      </c>
      <c r="G34" s="9" t="s">
        <v>76</v>
      </c>
    </row>
    <row r="35" spans="1:8" ht="24.95" customHeight="1" thickTop="1" x14ac:dyDescent="0.25">
      <c r="A35" s="16" t="s">
        <v>51</v>
      </c>
      <c r="B35" s="20">
        <v>998</v>
      </c>
      <c r="C35" s="19" t="s">
        <v>67</v>
      </c>
      <c r="D35" s="12" t="s">
        <v>69</v>
      </c>
      <c r="F35" s="10" t="s">
        <v>67</v>
      </c>
      <c r="G35" s="11">
        <f>SUMIF(Таблица3[кто],F35,Таблица3[сумма])</f>
        <v>9112</v>
      </c>
    </row>
    <row r="36" spans="1:8" ht="24.95" customHeight="1" x14ac:dyDescent="0.25">
      <c r="A36" s="16" t="s">
        <v>51</v>
      </c>
      <c r="B36" s="20">
        <v>715</v>
      </c>
      <c r="C36" s="19" t="s">
        <v>67</v>
      </c>
      <c r="D36" s="12" t="s">
        <v>69</v>
      </c>
      <c r="F36" s="14" t="s">
        <v>68</v>
      </c>
      <c r="G36" s="15">
        <f>SUMIF(Таблица3[кто],F36,Таблица3[сумма])</f>
        <v>9804</v>
      </c>
    </row>
    <row r="37" spans="1:8" ht="24.95" customHeight="1" x14ac:dyDescent="0.25">
      <c r="A37" s="16" t="s">
        <v>52</v>
      </c>
      <c r="B37" s="20">
        <v>1991</v>
      </c>
      <c r="C37" s="19" t="s">
        <v>68</v>
      </c>
      <c r="D37" s="12" t="s">
        <v>70</v>
      </c>
      <c r="F37" s="10" t="s">
        <v>75</v>
      </c>
      <c r="G37" s="11">
        <f>G35+G36</f>
        <v>18916</v>
      </c>
    </row>
    <row r="38" spans="1:8" ht="24.95" customHeight="1" x14ac:dyDescent="0.25">
      <c r="A38" s="16" t="s">
        <v>53</v>
      </c>
      <c r="B38" s="20">
        <v>607</v>
      </c>
      <c r="C38" s="19" t="s">
        <v>67</v>
      </c>
      <c r="D38" s="12" t="s">
        <v>69</v>
      </c>
    </row>
    <row r="39" spans="1:8" ht="24.95" customHeight="1" x14ac:dyDescent="0.25">
      <c r="A39" s="16" t="s">
        <v>54</v>
      </c>
      <c r="B39" s="20">
        <v>1890</v>
      </c>
      <c r="C39" s="19" t="s">
        <v>68</v>
      </c>
      <c r="D39" s="12" t="s">
        <v>71</v>
      </c>
      <c r="F39" s="21" t="s">
        <v>77</v>
      </c>
      <c r="G39" s="21"/>
      <c r="H39" s="21"/>
    </row>
    <row r="40" spans="1:8" ht="24.95" customHeight="1" x14ac:dyDescent="0.25">
      <c r="A40" s="16" t="s">
        <v>55</v>
      </c>
      <c r="B40" s="20">
        <v>99</v>
      </c>
      <c r="C40" s="19" t="s">
        <v>67</v>
      </c>
      <c r="D40" s="12" t="s">
        <v>69</v>
      </c>
      <c r="F40" s="21" t="str">
        <f>F35&amp;" потратил "&amp;G35&amp;" рублей"</f>
        <v>пользователь 1 потратил 9112 рублей</v>
      </c>
      <c r="G40" s="21"/>
      <c r="H40" s="21"/>
    </row>
    <row r="41" spans="1:8" ht="24.95" customHeight="1" x14ac:dyDescent="0.25">
      <c r="A41" s="16" t="s">
        <v>56</v>
      </c>
      <c r="B41" s="20">
        <v>704</v>
      </c>
      <c r="C41" s="19" t="s">
        <v>68</v>
      </c>
      <c r="D41" s="12" t="s">
        <v>69</v>
      </c>
      <c r="F41" s="21" t="str">
        <f>F36&amp;" потратил "&amp;G36&amp;" рублей"</f>
        <v>пользователь 2 потратил 9804 рублей</v>
      </c>
      <c r="G41" s="21"/>
      <c r="H41" s="21"/>
    </row>
    <row r="42" spans="1:8" ht="24.95" customHeight="1" x14ac:dyDescent="0.25">
      <c r="A42" s="16" t="s">
        <v>56</v>
      </c>
      <c r="B42" s="20">
        <v>1360</v>
      </c>
      <c r="C42" s="19" t="s">
        <v>68</v>
      </c>
      <c r="D42" s="12" t="s">
        <v>72</v>
      </c>
    </row>
    <row r="43" spans="1:8" ht="24.95" customHeight="1" x14ac:dyDescent="0.25">
      <c r="A43" s="16" t="s">
        <v>57</v>
      </c>
      <c r="B43" s="20">
        <v>70</v>
      </c>
      <c r="C43" s="19" t="s">
        <v>68</v>
      </c>
      <c r="D43" s="12" t="s">
        <v>69</v>
      </c>
    </row>
    <row r="44" spans="1:8" ht="24.95" customHeight="1" x14ac:dyDescent="0.25">
      <c r="A44" s="16" t="s">
        <v>58</v>
      </c>
      <c r="B44" s="20">
        <v>405</v>
      </c>
      <c r="C44" s="19" t="s">
        <v>67</v>
      </c>
      <c r="D44" s="12" t="s">
        <v>69</v>
      </c>
    </row>
    <row r="45" spans="1:8" ht="24.95" customHeight="1" x14ac:dyDescent="0.25">
      <c r="A45" s="16" t="s">
        <v>59</v>
      </c>
      <c r="B45" s="20">
        <v>280</v>
      </c>
      <c r="C45" s="19" t="s">
        <v>68</v>
      </c>
      <c r="D45" s="12" t="s">
        <v>69</v>
      </c>
    </row>
    <row r="46" spans="1:8" ht="24.95" customHeight="1" x14ac:dyDescent="0.25">
      <c r="A46" s="16" t="s">
        <v>60</v>
      </c>
      <c r="B46" s="20">
        <v>1470</v>
      </c>
      <c r="C46" s="19" t="s">
        <v>68</v>
      </c>
      <c r="D46" s="12" t="s">
        <v>69</v>
      </c>
    </row>
    <row r="47" spans="1:8" ht="24.95" customHeight="1" x14ac:dyDescent="0.25">
      <c r="A47" s="16" t="s">
        <v>60</v>
      </c>
      <c r="B47" s="20">
        <v>1315</v>
      </c>
      <c r="C47" s="19" t="s">
        <v>67</v>
      </c>
      <c r="D47" s="12" t="s">
        <v>69</v>
      </c>
    </row>
    <row r="48" spans="1:8" ht="24.95" customHeight="1" x14ac:dyDescent="0.25">
      <c r="A48" s="16" t="s">
        <v>61</v>
      </c>
      <c r="B48" s="20">
        <v>1296</v>
      </c>
      <c r="C48" s="19" t="s">
        <v>68</v>
      </c>
      <c r="D48" s="12" t="s">
        <v>69</v>
      </c>
    </row>
    <row r="49" spans="1:4" ht="24.95" customHeight="1" x14ac:dyDescent="0.25">
      <c r="A49" s="17" t="s">
        <v>62</v>
      </c>
      <c r="B49" s="13">
        <v>240</v>
      </c>
      <c r="C49" s="19" t="s">
        <v>68</v>
      </c>
      <c r="D49" s="18" t="s">
        <v>69</v>
      </c>
    </row>
    <row r="50" spans="1:4" ht="24.95" customHeight="1" x14ac:dyDescent="0.25">
      <c r="A50" s="17" t="s">
        <v>63</v>
      </c>
      <c r="B50" s="13">
        <v>613</v>
      </c>
      <c r="C50" s="19" t="s">
        <v>67</v>
      </c>
      <c r="D50" s="18" t="s">
        <v>69</v>
      </c>
    </row>
    <row r="51" spans="1:4" ht="24.95" customHeight="1" x14ac:dyDescent="0.25">
      <c r="A51" s="17" t="s">
        <v>63</v>
      </c>
      <c r="B51" s="13">
        <v>500</v>
      </c>
      <c r="C51" s="19" t="s">
        <v>67</v>
      </c>
      <c r="D51" s="18" t="s">
        <v>73</v>
      </c>
    </row>
    <row r="52" spans="1:4" ht="24.95" customHeight="1" x14ac:dyDescent="0.25">
      <c r="A52" s="17" t="s">
        <v>63</v>
      </c>
      <c r="B52" s="13">
        <v>1161</v>
      </c>
      <c r="C52" s="19" t="s">
        <v>67</v>
      </c>
      <c r="D52" s="18" t="s">
        <v>69</v>
      </c>
    </row>
    <row r="53" spans="1:4" ht="24.95" customHeight="1" x14ac:dyDescent="0.25">
      <c r="A53" s="17" t="s">
        <v>64</v>
      </c>
      <c r="B53" s="13">
        <v>299</v>
      </c>
      <c r="C53" s="19" t="s">
        <v>68</v>
      </c>
      <c r="D53" s="18" t="s">
        <v>69</v>
      </c>
    </row>
    <row r="54" spans="1:4" ht="24.95" customHeight="1" x14ac:dyDescent="0.25">
      <c r="A54" s="17" t="s">
        <v>65</v>
      </c>
      <c r="B54" s="13">
        <v>204</v>
      </c>
      <c r="C54" s="19" t="s">
        <v>68</v>
      </c>
      <c r="D54" s="18" t="s">
        <v>71</v>
      </c>
    </row>
    <row r="55" spans="1:4" ht="24.95" customHeight="1" x14ac:dyDescent="0.25">
      <c r="A55" s="17" t="s">
        <v>66</v>
      </c>
      <c r="B55" s="13">
        <v>2699</v>
      </c>
      <c r="C55" s="19" t="s">
        <v>67</v>
      </c>
      <c r="D55" s="18" t="s">
        <v>69</v>
      </c>
    </row>
  </sheetData>
  <mergeCells count="4">
    <mergeCell ref="F40:H40"/>
    <mergeCell ref="F41:H41"/>
    <mergeCell ref="F39:H39"/>
    <mergeCell ref="A12:C33"/>
  </mergeCells>
  <pageMargins left="0.7" right="0.7" top="0.75" bottom="0.75" header="0.3" footer="0.3"/>
  <pageSetup scale="61" fitToHeight="0" orientation="portrait" r:id="rId1"/>
  <rowBreaks count="2" manualBreakCount="2">
    <brk id="11" max="16383" man="1"/>
    <brk id="33" max="16383" man="1"/>
  </rowBreaks>
  <colBreaks count="2" manualBreakCount="2">
    <brk id="3" max="1048575" man="1"/>
    <brk id="5" max="1048575" man="1"/>
  </colBreaks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2021-11-15T16:32:17Z</dcterms:modified>
</cp:coreProperties>
</file>